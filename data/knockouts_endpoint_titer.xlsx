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l\AppData\Roaming\MobaXterm\slash\mx86_64b\RemoteFiles\198388_16_411\"/>
    </mc:Choice>
  </mc:AlternateContent>
  <xr:revisionPtr revIDLastSave="0" documentId="13_ncr:1_{04018FC6-4120-40BD-91F7-99411E169A43}" xr6:coauthVersionLast="47" xr6:coauthVersionMax="47" xr10:uidLastSave="{00000000-0000-0000-0000-000000000000}"/>
  <bookViews>
    <workbookView xWindow="-110" yWindow="-110" windowWidth="19420" windowHeight="11500" xr2:uid="{429F7F40-C4B7-594F-AC48-2C8C7E32C47B}"/>
  </bookViews>
  <sheets>
    <sheet name="data" sheetId="11" r:id="rId1"/>
    <sheet name="results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0" l="1"/>
  <c r="K13" i="10"/>
  <c r="K12" i="10"/>
  <c r="K11" i="10"/>
  <c r="K10" i="10"/>
  <c r="K9" i="10"/>
  <c r="K8" i="10"/>
  <c r="K7" i="10"/>
  <c r="K6" i="10"/>
  <c r="K5" i="10"/>
  <c r="K4" i="10"/>
  <c r="K3" i="10"/>
</calcChain>
</file>

<file path=xl/sharedStrings.xml><?xml version="1.0" encoding="utf-8"?>
<sst xmlns="http://schemas.openxmlformats.org/spreadsheetml/2006/main" count="47" uniqueCount="10">
  <si>
    <t>conc</t>
  </si>
  <si>
    <t>PFU</t>
  </si>
  <si>
    <t>pgaA</t>
  </si>
  <si>
    <t>MOI</t>
  </si>
  <si>
    <t>strain</t>
  </si>
  <si>
    <t>line</t>
  </si>
  <si>
    <t>A</t>
  </si>
  <si>
    <t>B</t>
  </si>
  <si>
    <t>C</t>
  </si>
  <si>
    <t>lacY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</si>
</sst>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1FBE-CA26-4091-B967-7843472F882F}">
  <dimension ref="A1:D13"/>
  <sheetViews>
    <sheetView tabSelected="1" workbookViewId="0">
      <selection activeCell="A14" sqref="A14:XFD19"/>
    </sheetView>
  </sheetViews>
  <sheetFormatPr defaultRowHeight="16" x14ac:dyDescent="0.4"/>
  <sheetData>
    <row r="1" spans="1:4" ht="16.5" thickBot="1" x14ac:dyDescent="0.45">
      <c r="A1" s="22" t="s">
        <v>4</v>
      </c>
      <c r="B1" s="23" t="s">
        <v>3</v>
      </c>
      <c r="C1" s="24" t="s">
        <v>5</v>
      </c>
      <c r="D1" s="21" t="s">
        <v>0</v>
      </c>
    </row>
    <row r="2" spans="1:4" x14ac:dyDescent="0.4">
      <c r="A2" s="17" t="s">
        <v>2</v>
      </c>
      <c r="B2" s="12">
        <v>10</v>
      </c>
      <c r="C2" s="5" t="s">
        <v>6</v>
      </c>
      <c r="D2" s="6">
        <v>990000000000</v>
      </c>
    </row>
    <row r="3" spans="1:4" x14ac:dyDescent="0.4">
      <c r="A3" s="20" t="s">
        <v>2</v>
      </c>
      <c r="B3" s="13">
        <v>10</v>
      </c>
      <c r="C3" s="1" t="s">
        <v>7</v>
      </c>
      <c r="D3" s="7">
        <v>800000000000</v>
      </c>
    </row>
    <row r="4" spans="1:4" ht="16.5" thickBot="1" x14ac:dyDescent="0.45">
      <c r="A4" s="19" t="s">
        <v>2</v>
      </c>
      <c r="B4" s="14">
        <v>10</v>
      </c>
      <c r="C4" s="8" t="s">
        <v>8</v>
      </c>
      <c r="D4" s="9">
        <v>770000000000</v>
      </c>
    </row>
    <row r="5" spans="1:4" x14ac:dyDescent="0.4">
      <c r="A5" s="17" t="s">
        <v>2</v>
      </c>
      <c r="B5" s="12">
        <v>0.1</v>
      </c>
      <c r="C5" s="5" t="s">
        <v>6</v>
      </c>
      <c r="D5" s="6">
        <v>145000000000</v>
      </c>
    </row>
    <row r="6" spans="1:4" x14ac:dyDescent="0.4">
      <c r="A6" s="20" t="s">
        <v>2</v>
      </c>
      <c r="B6" s="13">
        <v>0.1</v>
      </c>
      <c r="C6" s="1" t="s">
        <v>7</v>
      </c>
      <c r="D6" s="7">
        <v>142000000000</v>
      </c>
    </row>
    <row r="7" spans="1:4" ht="16.5" thickBot="1" x14ac:dyDescent="0.45">
      <c r="A7" s="19" t="s">
        <v>2</v>
      </c>
      <c r="B7" s="14">
        <v>0.1</v>
      </c>
      <c r="C7" s="8" t="s">
        <v>8</v>
      </c>
      <c r="D7" s="9">
        <v>255000000000</v>
      </c>
    </row>
    <row r="8" spans="1:4" x14ac:dyDescent="0.4">
      <c r="A8" s="17" t="s">
        <v>9</v>
      </c>
      <c r="B8" s="15">
        <v>10</v>
      </c>
      <c r="C8" s="5" t="s">
        <v>6</v>
      </c>
      <c r="D8" s="6">
        <v>600000000000</v>
      </c>
    </row>
    <row r="9" spans="1:4" x14ac:dyDescent="0.4">
      <c r="A9" s="20" t="s">
        <v>9</v>
      </c>
      <c r="B9" s="13">
        <v>10</v>
      </c>
      <c r="C9" s="1" t="s">
        <v>7</v>
      </c>
      <c r="D9" s="7">
        <v>517000000000</v>
      </c>
    </row>
    <row r="10" spans="1:4" ht="16.5" thickBot="1" x14ac:dyDescent="0.45">
      <c r="A10" s="19" t="s">
        <v>9</v>
      </c>
      <c r="B10" s="14">
        <v>10</v>
      </c>
      <c r="C10" s="8" t="s">
        <v>8</v>
      </c>
      <c r="D10" s="9"/>
    </row>
    <row r="11" spans="1:4" x14ac:dyDescent="0.4">
      <c r="A11" s="17" t="s">
        <v>9</v>
      </c>
      <c r="B11" s="15">
        <v>0.1</v>
      </c>
      <c r="C11" s="5" t="s">
        <v>6</v>
      </c>
      <c r="D11" s="6">
        <v>12300000000</v>
      </c>
    </row>
    <row r="12" spans="1:4" x14ac:dyDescent="0.4">
      <c r="A12" s="20" t="s">
        <v>9</v>
      </c>
      <c r="B12" s="13">
        <v>0.1</v>
      </c>
      <c r="C12" s="1" t="s">
        <v>7</v>
      </c>
      <c r="D12" s="7">
        <v>7150000000</v>
      </c>
    </row>
    <row r="13" spans="1:4" ht="16.5" thickBot="1" x14ac:dyDescent="0.45">
      <c r="A13" s="18" t="s">
        <v>9</v>
      </c>
      <c r="B13" s="16">
        <v>0.1</v>
      </c>
      <c r="C13" s="8" t="s">
        <v>8</v>
      </c>
      <c r="D13" s="9">
        <v>9500000000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0733-71F7-4A82-8058-EB92337E89BA}">
  <dimension ref="A1:K14"/>
  <sheetViews>
    <sheetView workbookViewId="0">
      <selection activeCell="G20" sqref="G20"/>
    </sheetView>
  </sheetViews>
  <sheetFormatPr defaultRowHeight="16" x14ac:dyDescent="0.4"/>
  <sheetData>
    <row r="1" spans="1:11" x14ac:dyDescent="0.4">
      <c r="A1" s="2"/>
      <c r="B1" s="2"/>
      <c r="C1" s="25" t="s">
        <v>1</v>
      </c>
      <c r="D1" s="25"/>
      <c r="E1" s="25"/>
      <c r="F1" s="26"/>
      <c r="G1" s="26"/>
      <c r="H1" s="26"/>
      <c r="I1" s="26"/>
      <c r="J1" s="26"/>
      <c r="K1" s="26"/>
    </row>
    <row r="2" spans="1:11" ht="16.5" thickBot="1" x14ac:dyDescent="0.45">
      <c r="A2" s="3" t="s">
        <v>4</v>
      </c>
      <c r="B2" s="3" t="s">
        <v>3</v>
      </c>
      <c r="C2" s="4" t="s">
        <v>5</v>
      </c>
      <c r="D2" s="4">
        <v>7</v>
      </c>
      <c r="E2" s="4">
        <v>7</v>
      </c>
      <c r="F2" s="4">
        <v>8</v>
      </c>
      <c r="G2" s="4">
        <v>8</v>
      </c>
      <c r="H2" s="4">
        <v>9</v>
      </c>
      <c r="I2" s="4">
        <v>9</v>
      </c>
      <c r="J2" s="4">
        <v>10</v>
      </c>
      <c r="K2" s="4" t="s">
        <v>0</v>
      </c>
    </row>
    <row r="3" spans="1:11" x14ac:dyDescent="0.4">
      <c r="A3" s="27" t="s">
        <v>2</v>
      </c>
      <c r="B3" s="30">
        <v>10</v>
      </c>
      <c r="C3" s="5" t="s">
        <v>6</v>
      </c>
      <c r="D3" s="5"/>
      <c r="E3" s="5"/>
      <c r="F3" s="5"/>
      <c r="G3" s="5"/>
      <c r="H3" s="5">
        <v>99</v>
      </c>
      <c r="I3" s="5"/>
      <c r="J3" s="5"/>
      <c r="K3" s="6">
        <f>(H3*10^($H$2+1))</f>
        <v>990000000000</v>
      </c>
    </row>
    <row r="4" spans="1:11" x14ac:dyDescent="0.4">
      <c r="A4" s="28"/>
      <c r="B4" s="31"/>
      <c r="C4" s="1" t="s">
        <v>7</v>
      </c>
      <c r="D4" s="1"/>
      <c r="E4" s="1"/>
      <c r="F4" s="1"/>
      <c r="G4" s="1"/>
      <c r="H4" s="1">
        <v>80</v>
      </c>
      <c r="I4" s="1"/>
      <c r="J4" s="1"/>
      <c r="K4" s="7">
        <f>(H4*10^($H$2+1))</f>
        <v>800000000000</v>
      </c>
    </row>
    <row r="5" spans="1:11" ht="16.5" thickBot="1" x14ac:dyDescent="0.45">
      <c r="A5" s="28"/>
      <c r="B5" s="32"/>
      <c r="C5" s="8" t="s">
        <v>8</v>
      </c>
      <c r="D5" s="8"/>
      <c r="E5" s="8"/>
      <c r="F5" s="8"/>
      <c r="G5" s="8"/>
      <c r="H5" s="8">
        <v>77</v>
      </c>
      <c r="I5" s="8"/>
      <c r="J5" s="8"/>
      <c r="K5" s="9">
        <f>(H5*10^($H$2+1))</f>
        <v>770000000000</v>
      </c>
    </row>
    <row r="6" spans="1:11" x14ac:dyDescent="0.4">
      <c r="A6" s="28"/>
      <c r="B6" s="30">
        <v>0.1</v>
      </c>
      <c r="C6" s="5" t="s">
        <v>6</v>
      </c>
      <c r="D6" s="5"/>
      <c r="E6" s="5"/>
      <c r="F6" s="5">
        <v>127</v>
      </c>
      <c r="G6" s="5">
        <v>163</v>
      </c>
      <c r="H6" s="5"/>
      <c r="I6" s="5"/>
      <c r="J6" s="5"/>
      <c r="K6" s="6">
        <f>((G6*10^($G$2+1))+(F6*10^($F$2+1)))/2</f>
        <v>145000000000</v>
      </c>
    </row>
    <row r="7" spans="1:11" x14ac:dyDescent="0.4">
      <c r="A7" s="28"/>
      <c r="B7" s="31"/>
      <c r="C7" s="1" t="s">
        <v>7</v>
      </c>
      <c r="D7" s="1"/>
      <c r="E7" s="1"/>
      <c r="F7" s="1">
        <v>128</v>
      </c>
      <c r="G7" s="1">
        <v>156</v>
      </c>
      <c r="H7" s="1"/>
      <c r="I7" s="1"/>
      <c r="J7" s="1"/>
      <c r="K7" s="7">
        <f>((F7*10^($F$2+1))+(G7*10^($G$2+1)))/2</f>
        <v>142000000000</v>
      </c>
    </row>
    <row r="8" spans="1:11" ht="16.5" thickBot="1" x14ac:dyDescent="0.45">
      <c r="A8" s="29"/>
      <c r="B8" s="32"/>
      <c r="C8" s="8" t="s">
        <v>8</v>
      </c>
      <c r="D8" s="8"/>
      <c r="E8" s="8"/>
      <c r="F8" s="8"/>
      <c r="G8" s="8"/>
      <c r="H8" s="8">
        <v>18</v>
      </c>
      <c r="I8" s="8">
        <v>33</v>
      </c>
      <c r="J8" s="8"/>
      <c r="K8" s="9">
        <f>((H8*10^($H$2+1))+(I8*10^($I$2+1)))/2</f>
        <v>255000000000</v>
      </c>
    </row>
    <row r="9" spans="1:11" x14ac:dyDescent="0.4">
      <c r="A9" s="27" t="s">
        <v>9</v>
      </c>
      <c r="B9" s="30">
        <v>10</v>
      </c>
      <c r="C9" s="5" t="s">
        <v>6</v>
      </c>
      <c r="D9" s="5"/>
      <c r="E9" s="5"/>
      <c r="F9" s="11"/>
      <c r="G9" s="11"/>
      <c r="H9" s="11">
        <v>44</v>
      </c>
      <c r="I9" s="11">
        <v>56</v>
      </c>
      <c r="J9" s="11">
        <v>8</v>
      </c>
      <c r="K9" s="6">
        <f>((H9*10^($H$2+1))+(I9*10^($I$2+1))+(J9*10^($J$2+1)))/3</f>
        <v>600000000000</v>
      </c>
    </row>
    <row r="10" spans="1:11" x14ac:dyDescent="0.4">
      <c r="A10" s="28"/>
      <c r="B10" s="31"/>
      <c r="C10" s="1" t="s">
        <v>7</v>
      </c>
      <c r="D10" s="1"/>
      <c r="E10" s="1"/>
      <c r="F10" s="2"/>
      <c r="G10" s="2"/>
      <c r="H10" s="2">
        <v>59</v>
      </c>
      <c r="I10" s="2">
        <v>36</v>
      </c>
      <c r="J10" s="2">
        <v>6</v>
      </c>
      <c r="K10" s="7">
        <f>((H10*10^($H$2+1))+(I10*10^($I$2+1))+(J10*10^($J$2+1)))/3</f>
        <v>516666666666.66669</v>
      </c>
    </row>
    <row r="11" spans="1:11" ht="16.5" thickBot="1" x14ac:dyDescent="0.45">
      <c r="A11" s="28"/>
      <c r="B11" s="32"/>
      <c r="C11" s="8" t="s">
        <v>8</v>
      </c>
      <c r="D11" s="8"/>
      <c r="E11" s="8"/>
      <c r="F11" s="10"/>
      <c r="G11" s="10"/>
      <c r="H11" s="10"/>
      <c r="I11" s="10"/>
      <c r="J11" s="10"/>
      <c r="K11" s="9">
        <f t="shared" ref="K11" si="0">((H11*10^($H$2+1))+(I11*10^($I$2+1)))/2</f>
        <v>0</v>
      </c>
    </row>
    <row r="12" spans="1:11" x14ac:dyDescent="0.4">
      <c r="A12" s="28"/>
      <c r="B12" s="30">
        <v>0.1</v>
      </c>
      <c r="C12" s="5" t="s">
        <v>6</v>
      </c>
      <c r="D12" s="5">
        <v>107</v>
      </c>
      <c r="E12" s="5">
        <v>138</v>
      </c>
      <c r="F12" s="11">
        <v>58</v>
      </c>
      <c r="G12" s="11"/>
      <c r="H12" s="11"/>
      <c r="I12" s="11"/>
      <c r="J12" s="11"/>
      <c r="K12" s="6">
        <f>((D12*10^($D$2+1))+(E12*10^($E$2+1)))/2</f>
        <v>12250000000</v>
      </c>
    </row>
    <row r="13" spans="1:11" x14ac:dyDescent="0.4">
      <c r="A13" s="28"/>
      <c r="B13" s="31"/>
      <c r="C13" s="1" t="s">
        <v>7</v>
      </c>
      <c r="D13" s="1">
        <v>68</v>
      </c>
      <c r="E13" s="1">
        <v>75</v>
      </c>
      <c r="F13" s="2">
        <v>8</v>
      </c>
      <c r="G13" s="2"/>
      <c r="H13" s="2"/>
      <c r="I13" s="2"/>
      <c r="J13" s="2"/>
      <c r="K13" s="7">
        <f>((D13*10^($D$2+1))+(E13*10^($E$2+1)))/2</f>
        <v>7150000000</v>
      </c>
    </row>
    <row r="14" spans="1:11" ht="16.5" thickBot="1" x14ac:dyDescent="0.45">
      <c r="A14" s="29"/>
      <c r="B14" s="32"/>
      <c r="C14" s="8" t="s">
        <v>8</v>
      </c>
      <c r="D14" s="8">
        <v>89</v>
      </c>
      <c r="E14" s="8">
        <v>101</v>
      </c>
      <c r="F14" s="10">
        <v>11</v>
      </c>
      <c r="G14" s="10"/>
      <c r="H14" s="10"/>
      <c r="I14" s="10"/>
      <c r="J14" s="10"/>
      <c r="K14" s="9">
        <f>((D14*10^($D$2+1))+(E14*10^($E$2+1)))/2</f>
        <v>9500000000</v>
      </c>
    </row>
  </sheetData>
  <mergeCells count="7">
    <mergeCell ref="C1:K1"/>
    <mergeCell ref="A3:A8"/>
    <mergeCell ref="B3:B5"/>
    <mergeCell ref="B6:B8"/>
    <mergeCell ref="A9:A14"/>
    <mergeCell ref="B9:B11"/>
    <mergeCell ref="B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Arielle Kahn</dc:creator>
  <cp:lastModifiedBy>Yuval Resisi</cp:lastModifiedBy>
  <dcterms:created xsi:type="dcterms:W3CDTF">2025-03-17T10:53:35Z</dcterms:created>
  <dcterms:modified xsi:type="dcterms:W3CDTF">2026-10-04T06:50:15Z</dcterms:modified>
</cp:coreProperties>
</file>