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l\AppData\Roaming\MobaXterm\slash\mx86_64b\RemoteFiles\17043320_4_27\"/>
    </mc:Choice>
  </mc:AlternateContent>
  <xr:revisionPtr revIDLastSave="0" documentId="13_ncr:1_{9EE7A9A6-4CC7-486A-9766-FD32EDDB6C01}" xr6:coauthVersionLast="47" xr6:coauthVersionMax="47" xr10:uidLastSave="{00000000-0000-0000-0000-000000000000}"/>
  <bookViews>
    <workbookView xWindow="1520" yWindow="1520" windowWidth="14400" windowHeight="8170" xr2:uid="{429F7F40-C4B7-594F-AC48-2C8C7E32C47B}"/>
  </bookViews>
  <sheets>
    <sheet name="data" sheetId="9" r:id="rId1"/>
    <sheet name="Infected - A" sheetId="1" r:id="rId2"/>
    <sheet name="Infected - B" sheetId="11" r:id="rId3"/>
    <sheet name="Contro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6" i="1"/>
  <c r="U6" i="11"/>
  <c r="U7" i="11"/>
  <c r="U5" i="11"/>
  <c r="U4" i="11"/>
  <c r="U3" i="11"/>
  <c r="V5" i="1"/>
  <c r="V4" i="1"/>
  <c r="V3" i="1"/>
  <c r="J6" i="5"/>
  <c r="J7" i="5"/>
  <c r="H7" i="1"/>
  <c r="H6" i="1"/>
  <c r="H5" i="1"/>
  <c r="H4" i="1"/>
  <c r="H3" i="1"/>
  <c r="H7" i="11"/>
  <c r="H6" i="11"/>
  <c r="H5" i="11"/>
  <c r="H4" i="11"/>
  <c r="H3" i="11"/>
  <c r="J5" i="5"/>
  <c r="J4" i="5"/>
  <c r="J3" i="5"/>
</calcChain>
</file>

<file path=xl/sharedStrings.xml><?xml version="1.0" encoding="utf-8"?>
<sst xmlns="http://schemas.openxmlformats.org/spreadsheetml/2006/main" count="15" uniqueCount="8">
  <si>
    <t>conc</t>
  </si>
  <si>
    <t>Control</t>
  </si>
  <si>
    <t>CFU</t>
  </si>
  <si>
    <t>PFU</t>
  </si>
  <si>
    <t>Infected - B</t>
  </si>
  <si>
    <t>Infected - A</t>
  </si>
  <si>
    <t>PFU - A</t>
  </si>
  <si>
    <t>PFU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</si>
</sst>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/>
    <xf numFmtId="11" fontId="0" fillId="0" borderId="1" xfId="0" applyNumberFormat="1" applyBorder="1"/>
    <xf numFmtId="164" fontId="0" fillId="0" borderId="0" xfId="0" applyNumberFormat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9525</xdr:rowOff>
    </xdr:from>
    <xdr:ext cx="2330450" cy="5409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D7435E-4763-DC5B-4452-0C8A29E08EE4}"/>
                </a:ext>
              </a:extLst>
            </xdr:cNvPr>
            <xdr:cNvSpPr txBox="1"/>
          </xdr:nvSpPr>
          <xdr:spPr>
            <a:xfrm>
              <a:off x="0" y="2009775"/>
              <a:ext cx="2330450" cy="540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#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𝑐𝑜𝑙𝑜𝑛𝑖𝑒𝑠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∗10</m:t>
                        </m:r>
                      </m:num>
                      <m:den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D7435E-4763-DC5B-4452-0C8A29E08EE4}"/>
                </a:ext>
              </a:extLst>
            </xdr:cNvPr>
            <xdr:cNvSpPr txBox="1"/>
          </xdr:nvSpPr>
          <xdr:spPr>
            <a:xfrm>
              <a:off x="0" y="2009775"/>
              <a:ext cx="2330450" cy="540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#𝑐𝑜𝑙𝑜𝑛𝑖𝑒𝑠∗10)/10^(−𝑋) </a:t>
              </a:r>
              <a:endParaRPr lang="en-US" sz="18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31750</xdr:rowOff>
    </xdr:from>
    <xdr:ext cx="2330450" cy="5409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827708D-0D76-8C40-8D4D-21BF778BEF6F}"/>
                </a:ext>
              </a:extLst>
            </xdr:cNvPr>
            <xdr:cNvSpPr txBox="1"/>
          </xdr:nvSpPr>
          <xdr:spPr>
            <a:xfrm>
              <a:off x="0" y="3689350"/>
              <a:ext cx="2330450" cy="540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#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𝑐𝑜𝑙𝑜𝑛𝑖𝑒𝑠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∗10</m:t>
                        </m:r>
                      </m:num>
                      <m:den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827708D-0D76-8C40-8D4D-21BF778BEF6F}"/>
                </a:ext>
              </a:extLst>
            </xdr:cNvPr>
            <xdr:cNvSpPr txBox="1"/>
          </xdr:nvSpPr>
          <xdr:spPr>
            <a:xfrm>
              <a:off x="0" y="3689350"/>
              <a:ext cx="2330450" cy="540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#𝑐𝑜𝑙𝑜𝑛𝑖𝑒𝑠∗10)/10^(−𝑋) </a:t>
              </a:r>
              <a:endParaRPr lang="en-US" sz="1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F53F-D158-4365-8666-701A65E9F0F9}">
  <dimension ref="A1:F11"/>
  <sheetViews>
    <sheetView tabSelected="1" workbookViewId="0">
      <selection activeCell="A3" sqref="A3:XFD3"/>
    </sheetView>
  </sheetViews>
  <sheetFormatPr defaultRowHeight="16" x14ac:dyDescent="0.4"/>
  <cols>
    <col min="2" max="3" width="9.75" bestFit="1" customWidth="1"/>
  </cols>
  <sheetData>
    <row r="1" spans="1:6" x14ac:dyDescent="0.4">
      <c r="A1" s="3"/>
      <c r="B1" s="3" t="s">
        <v>5</v>
      </c>
      <c r="C1" s="3" t="s">
        <v>4</v>
      </c>
      <c r="D1" s="3" t="s">
        <v>1</v>
      </c>
      <c r="E1" s="3" t="s">
        <v>6</v>
      </c>
      <c r="F1" s="3" t="s">
        <v>7</v>
      </c>
    </row>
    <row r="2" spans="1:6" x14ac:dyDescent="0.4">
      <c r="A2" s="3">
        <v>0</v>
      </c>
      <c r="B2" s="4">
        <v>100000000</v>
      </c>
      <c r="C2" s="4">
        <v>100000000</v>
      </c>
      <c r="D2" s="4">
        <v>100000000</v>
      </c>
      <c r="E2" s="4">
        <v>1000000000</v>
      </c>
      <c r="F2" s="4">
        <v>1000000000</v>
      </c>
    </row>
    <row r="3" spans="1:6" x14ac:dyDescent="0.4">
      <c r="A3" s="3">
        <v>15</v>
      </c>
      <c r="B3" s="4">
        <v>64700000</v>
      </c>
      <c r="C3" s="4">
        <v>100000000</v>
      </c>
      <c r="D3" s="4">
        <v>235000000</v>
      </c>
      <c r="E3" s="2">
        <v>19400000</v>
      </c>
      <c r="F3" s="2">
        <v>13500000</v>
      </c>
    </row>
    <row r="4" spans="1:6" x14ac:dyDescent="0.4">
      <c r="A4" s="3">
        <v>45</v>
      </c>
      <c r="B4" s="4">
        <v>166000000</v>
      </c>
      <c r="C4" s="4">
        <v>101000000</v>
      </c>
      <c r="D4" s="4">
        <v>400000000</v>
      </c>
      <c r="E4" s="2">
        <v>18000000</v>
      </c>
      <c r="F4" s="2">
        <v>16500000</v>
      </c>
    </row>
    <row r="5" spans="1:6" x14ac:dyDescent="0.4">
      <c r="A5" s="3">
        <v>120</v>
      </c>
      <c r="B5" s="4">
        <v>32000000</v>
      </c>
      <c r="C5" s="4">
        <v>28500000</v>
      </c>
      <c r="D5" s="4">
        <v>1540000000</v>
      </c>
      <c r="E5" s="2">
        <v>295000000000</v>
      </c>
      <c r="F5" s="2">
        <v>290000000000</v>
      </c>
    </row>
    <row r="6" spans="1:6" x14ac:dyDescent="0.4">
      <c r="A6" s="3">
        <v>180</v>
      </c>
      <c r="B6" s="4">
        <v>98000000</v>
      </c>
      <c r="C6" s="4">
        <v>143000000</v>
      </c>
      <c r="D6" s="4">
        <v>2890000000</v>
      </c>
      <c r="E6" s="2">
        <v>350000000000</v>
      </c>
      <c r="F6" s="2">
        <v>580000000000</v>
      </c>
    </row>
    <row r="7" spans="1:6" x14ac:dyDescent="0.4">
      <c r="A7" s="3">
        <v>240</v>
      </c>
      <c r="B7" s="4">
        <v>143000000</v>
      </c>
      <c r="C7" s="4">
        <v>230000000</v>
      </c>
      <c r="D7" s="4">
        <v>6530000000</v>
      </c>
      <c r="E7" s="2">
        <v>453000000000</v>
      </c>
      <c r="F7" s="2">
        <v>553000000000</v>
      </c>
    </row>
    <row r="11" spans="1:6" x14ac:dyDescent="0.4">
      <c r="C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7DB9-1759-8945-9336-FBA6E4002232}">
  <dimension ref="A1:V7"/>
  <sheetViews>
    <sheetView topLeftCell="J1" workbookViewId="0">
      <selection activeCell="J3" sqref="A3:XFD3"/>
    </sheetView>
  </sheetViews>
  <sheetFormatPr defaultColWidth="10.6640625" defaultRowHeight="16" x14ac:dyDescent="0.4"/>
  <sheetData>
    <row r="1" spans="1:22" x14ac:dyDescent="0.4">
      <c r="A1" s="6" t="s">
        <v>2</v>
      </c>
      <c r="B1" s="6"/>
      <c r="C1" s="6"/>
      <c r="D1" s="6"/>
      <c r="E1" s="6"/>
      <c r="F1" s="6"/>
      <c r="G1" s="6"/>
      <c r="H1" s="6"/>
      <c r="J1" s="7" t="s">
        <v>3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4">
      <c r="A2" s="1"/>
      <c r="B2" s="1">
        <v>4</v>
      </c>
      <c r="C2" s="1">
        <v>5</v>
      </c>
      <c r="D2" s="1">
        <v>5</v>
      </c>
      <c r="E2" s="1">
        <v>6</v>
      </c>
      <c r="F2" s="1">
        <v>6</v>
      </c>
      <c r="G2" s="1">
        <v>7</v>
      </c>
      <c r="H2" s="1" t="s">
        <v>0</v>
      </c>
      <c r="J2" s="1"/>
      <c r="K2" s="1">
        <v>4</v>
      </c>
      <c r="L2" s="1">
        <v>5</v>
      </c>
      <c r="M2" s="1">
        <v>5</v>
      </c>
      <c r="N2" s="1">
        <v>6</v>
      </c>
      <c r="O2" s="1">
        <v>6</v>
      </c>
      <c r="P2" s="1">
        <v>7</v>
      </c>
      <c r="Q2" s="1">
        <v>8</v>
      </c>
      <c r="R2" s="1">
        <v>9</v>
      </c>
      <c r="S2" s="1">
        <v>9</v>
      </c>
      <c r="T2" s="1">
        <v>10</v>
      </c>
      <c r="U2" s="1">
        <v>11</v>
      </c>
      <c r="V2" s="1" t="s">
        <v>0</v>
      </c>
    </row>
    <row r="3" spans="1:22" x14ac:dyDescent="0.4">
      <c r="A3" s="1">
        <v>15</v>
      </c>
      <c r="B3" s="1"/>
      <c r="C3" s="1">
        <v>51</v>
      </c>
      <c r="D3" s="1">
        <v>43</v>
      </c>
      <c r="E3" s="1">
        <v>10</v>
      </c>
      <c r="F3" s="1"/>
      <c r="G3" s="1"/>
      <c r="H3" s="2">
        <f>((C3*10^($C$2+1))+(D3*10^($D$2+1))+(E3*10^($E$2+1)))/3</f>
        <v>64666666.666666664</v>
      </c>
      <c r="J3" s="1">
        <v>15</v>
      </c>
      <c r="K3" s="1">
        <v>138</v>
      </c>
      <c r="L3" s="1">
        <v>25</v>
      </c>
      <c r="M3" s="1"/>
      <c r="N3" s="1"/>
      <c r="O3" s="1"/>
      <c r="P3" s="1"/>
      <c r="Q3" s="1"/>
      <c r="R3" s="1"/>
      <c r="S3" s="1"/>
      <c r="T3" s="1"/>
      <c r="U3" s="1"/>
      <c r="V3" s="2">
        <f>((K3*10^($K$2+1))+(L3*10^($L$2+1)))/2</f>
        <v>19400000</v>
      </c>
    </row>
    <row r="4" spans="1:22" x14ac:dyDescent="0.4">
      <c r="A4" s="1">
        <v>45</v>
      </c>
      <c r="B4" s="1"/>
      <c r="C4" s="1">
        <v>123</v>
      </c>
      <c r="D4" s="1">
        <v>121</v>
      </c>
      <c r="E4" s="1">
        <v>19</v>
      </c>
      <c r="F4" s="1">
        <v>23</v>
      </c>
      <c r="G4" s="1"/>
      <c r="H4" s="2">
        <f>((C4*10^($C$2+1))+(D4*10^($D$2+1))+(F4*10^($F$2+1))+(E4*10^($E$2+1)))/4</f>
        <v>166000000</v>
      </c>
      <c r="J4" s="1">
        <v>45</v>
      </c>
      <c r="K4" s="1"/>
      <c r="L4" s="1">
        <v>17</v>
      </c>
      <c r="M4" s="1">
        <v>19</v>
      </c>
      <c r="N4" s="1">
        <v>1</v>
      </c>
      <c r="O4" s="1">
        <v>2</v>
      </c>
      <c r="P4" s="1"/>
      <c r="Q4" s="1"/>
      <c r="R4" s="1"/>
      <c r="S4" s="1"/>
      <c r="T4" s="1"/>
      <c r="U4" s="1"/>
      <c r="V4" s="2">
        <f>((M4*10^($M$2+1))+(L4*10^($L$2+1)))/2</f>
        <v>18000000</v>
      </c>
    </row>
    <row r="5" spans="1:22" x14ac:dyDescent="0.4">
      <c r="A5" s="1">
        <v>120</v>
      </c>
      <c r="B5" s="1"/>
      <c r="C5" s="1">
        <v>20</v>
      </c>
      <c r="D5" s="1">
        <v>44</v>
      </c>
      <c r="E5" s="1">
        <v>2</v>
      </c>
      <c r="F5" s="1">
        <v>3</v>
      </c>
      <c r="G5" s="1"/>
      <c r="H5" s="2">
        <f>((C5*10^($C$2+1))+(D5*10^($D$2+1)))/2</f>
        <v>32000000</v>
      </c>
      <c r="J5" s="1">
        <v>120</v>
      </c>
      <c r="K5" s="1"/>
      <c r="L5" s="1"/>
      <c r="M5" s="1"/>
      <c r="N5" s="1"/>
      <c r="O5" s="1"/>
      <c r="P5" s="1"/>
      <c r="Q5" s="1">
        <v>280</v>
      </c>
      <c r="R5" s="1">
        <v>31</v>
      </c>
      <c r="S5" s="1"/>
      <c r="T5" s="1">
        <v>3</v>
      </c>
      <c r="U5" s="1"/>
      <c r="V5" s="2">
        <f>((R5*10^($R$2+1))+(Q5*10^($Q$2+1)))/2</f>
        <v>295000000000</v>
      </c>
    </row>
    <row r="6" spans="1:22" x14ac:dyDescent="0.4">
      <c r="A6" s="1">
        <v>180</v>
      </c>
      <c r="B6" s="1"/>
      <c r="C6" s="1">
        <v>46</v>
      </c>
      <c r="D6" s="1">
        <v>52</v>
      </c>
      <c r="E6" s="1">
        <v>3</v>
      </c>
      <c r="F6" s="1"/>
      <c r="G6" s="1"/>
      <c r="H6" s="2">
        <f>((C6*10^($C$2+1))+(D6*10^($D$2+1)))</f>
        <v>98000000</v>
      </c>
      <c r="J6" s="1">
        <v>180</v>
      </c>
      <c r="K6" s="1"/>
      <c r="L6" s="1"/>
      <c r="M6" s="1"/>
      <c r="N6" s="1"/>
      <c r="O6" s="1"/>
      <c r="P6" s="1"/>
      <c r="Q6" s="1"/>
      <c r="R6" s="1">
        <v>27</v>
      </c>
      <c r="S6" s="1">
        <v>38</v>
      </c>
      <c r="T6" s="1">
        <v>4</v>
      </c>
      <c r="U6" s="1"/>
      <c r="V6" s="2">
        <f>((S6*10^($S$2+1))+(R6*10^($R$2+1))+(T6*10^($T$2+1)))/3</f>
        <v>350000000000</v>
      </c>
    </row>
    <row r="7" spans="1:22" x14ac:dyDescent="0.4">
      <c r="A7" s="1">
        <v>240</v>
      </c>
      <c r="B7" s="1"/>
      <c r="C7" s="1"/>
      <c r="D7" s="1">
        <v>130</v>
      </c>
      <c r="E7" s="1">
        <v>11</v>
      </c>
      <c r="F7" s="1">
        <v>19</v>
      </c>
      <c r="G7" s="1"/>
      <c r="H7" s="2">
        <f>((D7*10^($D$2+1))+(E7*10^($E$2+1))+(F7*10^($F$2+1)))/3</f>
        <v>143333333.33333334</v>
      </c>
      <c r="J7" s="1">
        <v>240</v>
      </c>
      <c r="K7" s="1"/>
      <c r="L7" s="1"/>
      <c r="M7" s="1"/>
      <c r="N7" s="1"/>
      <c r="O7" s="1"/>
      <c r="P7" s="1"/>
      <c r="Q7" s="1"/>
      <c r="R7" s="1">
        <v>45</v>
      </c>
      <c r="S7" s="1">
        <v>41</v>
      </c>
      <c r="T7" s="1">
        <v>5</v>
      </c>
      <c r="U7" s="1"/>
      <c r="V7" s="2">
        <f>((S7*10^($S$2+1))+(T7*10^($T$2+1))+(R7*10^($R$2+1)))/3</f>
        <v>453333333333.33331</v>
      </c>
    </row>
  </sheetData>
  <mergeCells count="2">
    <mergeCell ref="A1:H1"/>
    <mergeCell ref="J1:V1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1309-918C-4134-8BCE-8D87C9561BB4}">
  <dimension ref="A1:U7"/>
  <sheetViews>
    <sheetView workbookViewId="0">
      <selection activeCell="A3" sqref="A3:XFD3"/>
    </sheetView>
  </sheetViews>
  <sheetFormatPr defaultRowHeight="16" x14ac:dyDescent="0.4"/>
  <cols>
    <col min="7" max="7" width="8.75" customWidth="1"/>
  </cols>
  <sheetData>
    <row r="1" spans="1:21" x14ac:dyDescent="0.4">
      <c r="A1" s="6" t="s">
        <v>2</v>
      </c>
      <c r="B1" s="6"/>
      <c r="C1" s="6"/>
      <c r="D1" s="6"/>
      <c r="E1" s="6"/>
      <c r="F1" s="6"/>
      <c r="G1" s="6"/>
      <c r="H1" s="6"/>
      <c r="J1" s="7" t="s">
        <v>3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4">
      <c r="A2" s="1"/>
      <c r="B2" s="1">
        <v>4</v>
      </c>
      <c r="C2" s="1">
        <v>5</v>
      </c>
      <c r="D2" s="1">
        <v>5</v>
      </c>
      <c r="E2" s="1">
        <v>6</v>
      </c>
      <c r="F2" s="1">
        <v>6</v>
      </c>
      <c r="G2" s="1">
        <v>7</v>
      </c>
      <c r="H2" s="1" t="s">
        <v>0</v>
      </c>
      <c r="J2" s="1"/>
      <c r="K2" s="1">
        <v>4</v>
      </c>
      <c r="L2" s="1">
        <v>5</v>
      </c>
      <c r="M2" s="1">
        <v>5</v>
      </c>
      <c r="N2" s="1">
        <v>6</v>
      </c>
      <c r="O2" s="1">
        <v>6</v>
      </c>
      <c r="P2" s="1">
        <v>7</v>
      </c>
      <c r="Q2" s="1">
        <v>8</v>
      </c>
      <c r="R2" s="1">
        <v>9</v>
      </c>
      <c r="S2" s="1">
        <v>9</v>
      </c>
      <c r="T2" s="1">
        <v>10</v>
      </c>
      <c r="U2" s="1" t="s">
        <v>0</v>
      </c>
    </row>
    <row r="3" spans="1:21" x14ac:dyDescent="0.4">
      <c r="A3" s="1">
        <v>15</v>
      </c>
      <c r="B3" s="1"/>
      <c r="C3" s="1"/>
      <c r="D3" s="1"/>
      <c r="E3" s="1">
        <v>9</v>
      </c>
      <c r="F3" s="1">
        <v>11</v>
      </c>
      <c r="G3" s="1"/>
      <c r="H3" s="2">
        <f>((E3*10^($E$2+1))+(F3*10^($F$2+1)))/2</f>
        <v>100000000</v>
      </c>
      <c r="J3" s="1">
        <v>15</v>
      </c>
      <c r="K3" s="1">
        <v>136</v>
      </c>
      <c r="L3" s="1">
        <v>11</v>
      </c>
      <c r="M3" s="1">
        <v>16</v>
      </c>
      <c r="N3" s="1"/>
      <c r="O3" s="1"/>
      <c r="P3" s="1"/>
      <c r="Q3" s="1"/>
      <c r="R3" s="1"/>
      <c r="S3" s="1"/>
      <c r="T3" s="1"/>
      <c r="U3" s="2">
        <f>((K3*10^($K$2+1))+(M3*10^($M$2+1))+(L3*10^($L$2+1)))/3</f>
        <v>13533333.333333334</v>
      </c>
    </row>
    <row r="4" spans="1:21" x14ac:dyDescent="0.4">
      <c r="A4" s="1">
        <v>45</v>
      </c>
      <c r="B4" s="1"/>
      <c r="C4" s="1">
        <v>100</v>
      </c>
      <c r="D4" s="1">
        <v>102</v>
      </c>
      <c r="E4" s="1">
        <v>10</v>
      </c>
      <c r="F4" s="1">
        <v>10</v>
      </c>
      <c r="G4" s="1"/>
      <c r="H4" s="2">
        <f>((C4*10^($C$2+1))+(D4*10^($D$2+1)))/2</f>
        <v>101000000</v>
      </c>
      <c r="J4" s="1">
        <v>45</v>
      </c>
      <c r="K4" s="1"/>
      <c r="L4" s="1">
        <v>13</v>
      </c>
      <c r="M4" s="1">
        <v>20</v>
      </c>
      <c r="N4" s="1">
        <v>1</v>
      </c>
      <c r="O4" s="1"/>
      <c r="P4" s="1"/>
      <c r="Q4" s="1"/>
      <c r="R4" s="1"/>
      <c r="S4" s="1"/>
      <c r="T4" s="1"/>
      <c r="U4" s="2">
        <f>((M4*10^($M$2+1))+(L4*10^($L$2+1)))/2</f>
        <v>16500000</v>
      </c>
    </row>
    <row r="5" spans="1:21" x14ac:dyDescent="0.4">
      <c r="A5" s="1">
        <v>120</v>
      </c>
      <c r="B5" s="1"/>
      <c r="C5" s="1">
        <v>25</v>
      </c>
      <c r="D5" s="1">
        <v>32</v>
      </c>
      <c r="E5" s="1">
        <v>2</v>
      </c>
      <c r="F5" s="1">
        <v>3</v>
      </c>
      <c r="G5" s="1"/>
      <c r="H5" s="2">
        <f>((C5*10^($C$2+1))+(D5*10^($D$2+1)))/2</f>
        <v>28500000</v>
      </c>
      <c r="J5" s="1">
        <v>120</v>
      </c>
      <c r="K5" s="1"/>
      <c r="L5" s="1"/>
      <c r="M5" s="1"/>
      <c r="N5" s="1"/>
      <c r="O5" s="1"/>
      <c r="P5" s="1"/>
      <c r="Q5" s="1">
        <v>290</v>
      </c>
      <c r="R5" s="1">
        <v>29</v>
      </c>
      <c r="S5" s="1"/>
      <c r="T5" s="1">
        <v>3</v>
      </c>
      <c r="U5" s="2">
        <f>((R5*10^($R$2+1))+(Q5*10^($Q$2+1)))/2</f>
        <v>290000000000</v>
      </c>
    </row>
    <row r="6" spans="1:21" x14ac:dyDescent="0.4">
      <c r="A6" s="1">
        <v>180</v>
      </c>
      <c r="B6" s="1"/>
      <c r="C6" s="1">
        <v>73</v>
      </c>
      <c r="D6" s="1">
        <v>70</v>
      </c>
      <c r="E6" s="1"/>
      <c r="F6" s="1"/>
      <c r="G6" s="1"/>
      <c r="H6" s="2">
        <f>((C6*10^($C$2+1))+(D6*10^($D$2+1)))</f>
        <v>143000000</v>
      </c>
      <c r="J6" s="1">
        <v>180</v>
      </c>
      <c r="K6" s="1"/>
      <c r="L6" s="1"/>
      <c r="M6" s="1"/>
      <c r="N6" s="1"/>
      <c r="O6" s="1"/>
      <c r="P6" s="1"/>
      <c r="Q6" s="1"/>
      <c r="R6" s="1">
        <v>58</v>
      </c>
      <c r="S6" s="1">
        <v>58</v>
      </c>
      <c r="T6" s="1">
        <v>11</v>
      </c>
      <c r="U6" s="2">
        <f>((S6*10^($S$2+1))+(R6*10^($R$2+1)))/2</f>
        <v>580000000000</v>
      </c>
    </row>
    <row r="7" spans="1:21" x14ac:dyDescent="0.4">
      <c r="A7" s="1">
        <v>240</v>
      </c>
      <c r="B7" s="1"/>
      <c r="C7" s="1"/>
      <c r="D7" s="1"/>
      <c r="E7" s="1">
        <v>21</v>
      </c>
      <c r="F7" s="1">
        <v>25</v>
      </c>
      <c r="G7" s="1">
        <v>1</v>
      </c>
      <c r="H7" s="2">
        <f>((F7*10^($F$2+1))+(E7*10^($E$2+1)))/2</f>
        <v>230000000</v>
      </c>
      <c r="J7" s="1">
        <v>240</v>
      </c>
      <c r="K7" s="1"/>
      <c r="L7" s="1"/>
      <c r="M7" s="1"/>
      <c r="N7" s="1"/>
      <c r="O7" s="1"/>
      <c r="P7" s="1"/>
      <c r="Q7" s="1"/>
      <c r="R7" s="1">
        <v>55</v>
      </c>
      <c r="S7" s="1">
        <v>51</v>
      </c>
      <c r="T7" s="1">
        <v>6</v>
      </c>
      <c r="U7" s="2">
        <f>((S7*10^($S$2+1))+(T7*10^($T$2+1))+(R7*10^($R$2+1)))/3</f>
        <v>553333333333.33337</v>
      </c>
    </row>
  </sheetData>
  <mergeCells count="2">
    <mergeCell ref="A1:H1"/>
    <mergeCell ref="J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7D37-F86E-5341-8051-68B32D0DD072}">
  <dimension ref="A1:J7"/>
  <sheetViews>
    <sheetView workbookViewId="0">
      <selection activeCell="C17" sqref="C17"/>
    </sheetView>
  </sheetViews>
  <sheetFormatPr defaultColWidth="10.6640625" defaultRowHeight="16" x14ac:dyDescent="0.4"/>
  <sheetData>
    <row r="1" spans="1:10" x14ac:dyDescent="0.4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">
      <c r="A2" s="1"/>
      <c r="B2" s="1">
        <v>4</v>
      </c>
      <c r="C2" s="1">
        <v>5</v>
      </c>
      <c r="D2" s="1">
        <v>5</v>
      </c>
      <c r="E2" s="1">
        <v>6</v>
      </c>
      <c r="F2" s="1">
        <v>6</v>
      </c>
      <c r="G2" s="1">
        <v>7</v>
      </c>
      <c r="H2" s="1">
        <v>7</v>
      </c>
      <c r="I2" s="1">
        <v>8</v>
      </c>
      <c r="J2" s="1" t="s">
        <v>0</v>
      </c>
    </row>
    <row r="3" spans="1:10" x14ac:dyDescent="0.4">
      <c r="A3" s="1">
        <v>15</v>
      </c>
      <c r="B3" s="1"/>
      <c r="C3" s="1"/>
      <c r="D3" s="1"/>
      <c r="E3" s="1">
        <v>23</v>
      </c>
      <c r="F3" s="1">
        <v>24</v>
      </c>
      <c r="G3" s="1"/>
      <c r="H3" s="1"/>
      <c r="I3" s="1"/>
      <c r="J3" s="2">
        <f>(((E3*10^($E$2+1)) + (F3*10^($F$2+1))) / 2)</f>
        <v>235000000</v>
      </c>
    </row>
    <row r="4" spans="1:10" x14ac:dyDescent="0.4">
      <c r="A4" s="1">
        <v>45</v>
      </c>
      <c r="B4" s="1"/>
      <c r="C4" s="1"/>
      <c r="D4" s="1"/>
      <c r="E4" s="1"/>
      <c r="F4" s="1">
        <v>30</v>
      </c>
      <c r="G4" s="1">
        <v>5</v>
      </c>
      <c r="H4" s="1"/>
      <c r="I4" s="1"/>
      <c r="J4" s="2">
        <f>((G4*10^($G$2+1))+(F4*10^($F$2+1)))/2</f>
        <v>400000000</v>
      </c>
    </row>
    <row r="5" spans="1:10" x14ac:dyDescent="0.4">
      <c r="A5" s="1">
        <v>120</v>
      </c>
      <c r="B5" s="1"/>
      <c r="C5" s="1"/>
      <c r="D5" s="1"/>
      <c r="E5" s="1">
        <v>111</v>
      </c>
      <c r="F5" s="1">
        <v>204</v>
      </c>
      <c r="G5" s="1">
        <v>12</v>
      </c>
      <c r="H5" s="1">
        <v>18</v>
      </c>
      <c r="I5" s="1"/>
      <c r="J5" s="2">
        <f>((E5*10^($E$2+1))+(F5*10^($F$2+1)) + (G5*10^($G$2+1))+(H5*10^($H$2+1)))/4</f>
        <v>1537500000</v>
      </c>
    </row>
    <row r="6" spans="1:10" x14ac:dyDescent="0.4">
      <c r="A6" s="1">
        <v>180</v>
      </c>
      <c r="B6" s="1"/>
      <c r="C6" s="1"/>
      <c r="D6" s="1"/>
      <c r="E6" s="1"/>
      <c r="F6" s="1">
        <v>317</v>
      </c>
      <c r="G6" s="1">
        <v>24</v>
      </c>
      <c r="H6" s="1">
        <v>31</v>
      </c>
      <c r="I6" s="1">
        <v>2</v>
      </c>
      <c r="J6" s="2">
        <f>((F6*10^($F$2+1))+(G6*10^($G$2+1))+(H6*10^($H$2+1)))/3</f>
        <v>2890000000</v>
      </c>
    </row>
    <row r="7" spans="1:10" x14ac:dyDescent="0.4">
      <c r="A7" s="1">
        <v>240</v>
      </c>
      <c r="B7" s="1"/>
      <c r="C7" s="1"/>
      <c r="D7" s="1"/>
      <c r="E7" s="1"/>
      <c r="F7" s="1"/>
      <c r="G7" s="1">
        <v>48</v>
      </c>
      <c r="H7" s="1">
        <v>88</v>
      </c>
      <c r="I7" s="1">
        <v>6</v>
      </c>
      <c r="J7" s="2">
        <f>((G7*10^($G$2+1))+(H7*10^($H$2+1))+(I7*10^($I$2+1)))/3</f>
        <v>6533333333.333333</v>
      </c>
    </row>
  </sheetData>
  <mergeCells count="1">
    <mergeCell ref="A1:J1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Infected - A</vt:lpstr>
      <vt:lpstr>Infected - B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Arielle Kahn</dc:creator>
  <cp:lastModifiedBy>Yuval Resisi</cp:lastModifiedBy>
  <dcterms:created xsi:type="dcterms:W3CDTF">2025-03-17T10:53:35Z</dcterms:created>
  <dcterms:modified xsi:type="dcterms:W3CDTF">2026-10-08T13:45:02Z</dcterms:modified>
</cp:coreProperties>
</file>